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amer\Downloads\"/>
    </mc:Choice>
  </mc:AlternateContent>
  <xr:revisionPtr revIDLastSave="0" documentId="13_ncr:1_{EFE4A4B6-7935-43B7-994E-65C1604B94EC}" xr6:coauthVersionLast="47" xr6:coauthVersionMax="47" xr10:uidLastSave="{00000000-0000-0000-0000-000000000000}"/>
  <bookViews>
    <workbookView xWindow="-120" yWindow="-120" windowWidth="29040" windowHeight="16440" tabRatio="500" activeTab="1" xr2:uid="{00000000-000D-0000-FFFF-FFFF00000000}"/>
  </bookViews>
  <sheets>
    <sheet name="Instrucciones" sheetId="1" r:id="rId1"/>
    <sheet name="Ficha" sheetId="2" r:id="rId2"/>
    <sheet name="Referenci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2" i="2" l="1"/>
  <c r="B30" i="2"/>
  <c r="B29" i="2"/>
  <c r="B28" i="2"/>
  <c r="B31" i="2" s="1"/>
  <c r="B33" i="2" s="1"/>
  <c r="B34" i="2" s="1"/>
</calcChain>
</file>

<file path=xl/sharedStrings.xml><?xml version="1.0" encoding="utf-8"?>
<sst xmlns="http://schemas.openxmlformats.org/spreadsheetml/2006/main" count="146" uniqueCount="133">
  <si>
    <t>FICHA DE ALIMENTACIÓN DEL NODO — GT1, ítem 7</t>
  </si>
  <si>
    <t>Fundamentos de IoT · 2º semestre 2026 · Universidad Autónoma de Chile</t>
  </si>
  <si>
    <t>QUÉ SE COMPLETA</t>
  </si>
  <si>
    <t>Solo las celdas con fondo azul de la hoja «Ficha». Todo lo demás son fórmulas: no se escribe encima.</t>
  </si>
  <si>
    <t>PASOS</t>
  </si>
  <si>
    <t>1. Completar la identificación del equipo y los parámetros del ciclo (período, rieles, batería).</t>
  </si>
  <si>
    <t>2. Listar TODOS los componentes del nodo, uno por fila, con su corriente activa, su corriente en reposo y</t>
  </si>
  <si>
    <t xml:space="preserve">   cuántos segundos permanece activo dentro de un período. La fila de ejemplo muestra el formato esperado:</t>
  </si>
  <si>
    <t xml:space="preserve">   bórrenla o sustitúyanla por sus propios componentes.</t>
  </si>
  <si>
    <t>3. Indicar de dónde salió cada cifra: hoja de datos del componente o medición propia. Un número sin fuente</t>
  </si>
  <si>
    <t xml:space="preserve">   no se acepta en el ítem 7.</t>
  </si>
  <si>
    <t>4. Registrar la corriente de pico de cada componente. La planilla identifica sola cuál domina.</t>
  </si>
  <si>
    <t>5. Declarar si el nodo va enchufado o a batería, y justificarlo en una línea.</t>
  </si>
  <si>
    <t>6. Guardar la planilla en la carpeta /docs del repositorio del equipo.</t>
  </si>
  <si>
    <t>CÓMO SE CALCULA</t>
  </si>
  <si>
    <t>Corriente media ponderada por el ciclo de trabajo:  I_media = Σ [ I_activa·t_activo + I_reposo·(T − t_activo) ] / T</t>
  </si>
  <si>
    <t>Corriente exigida a la batería con conversión reductora:  I_bat = I_media · (V_riel / V_bat) / η</t>
  </si>
  <si>
    <t>Autonomía:  t = (0,8 · C_nominal) / I_bat        (el factor 0,8 es la capacidad útil, no la nominal)</t>
  </si>
  <si>
    <t>ADVERTENCIAS QUE CUESTAN EL ÍTEM</t>
  </si>
  <si>
    <t>· La corriente de pico no es opcional: es la que reinicia el nodo cuando transmite. Sin ella, el ítem 7 no cumple.</t>
  </si>
  <si>
    <t>· El consumo en reposo de una PLACA DE DESARROLLO es de unidades de mA, no de microamperios. Usar la cifra del</t>
  </si>
  <si>
    <t xml:space="preserve">  módulo desnudo produce una autonomía entre diez y cien veces optimista.</t>
  </si>
  <si>
    <t>· Una celda 18650 que declara más de 3500 mAh no es creíble. Usar una capacidad defendible y anotar el supuesto.</t>
  </si>
  <si>
    <t>· Si el proyecto exige nodo publicando de forma permanente (Semana 10), la autonomía debe ser compatible con eso</t>
  </si>
  <si>
    <t xml:space="preserve">  o el nodo va enchufado. Decidirlo ahora es más barato que descubrirlo en la Semana 10.</t>
  </si>
  <si>
    <t>FICHA DE ALIMENTACIÓN DEL NODO</t>
  </si>
  <si>
    <t>Completar solo las celdas con fondo azul. GT1, ítem 7.</t>
  </si>
  <si>
    <t>Equipo (código E NN)</t>
  </si>
  <si>
    <t>Proyecto (código P NN)</t>
  </si>
  <si>
    <t>Sección de laboratorio</t>
  </si>
  <si>
    <t>Fecha</t>
  </si>
  <si>
    <t>PARÁMETROS DEL CICLO Y DE LA FUENTE</t>
  </si>
  <si>
    <t>Período del ciclo del nodo T [s]</t>
  </si>
  <si>
    <t>Tiempo entre dos mediciones completas.</t>
  </si>
  <si>
    <t>Tensión del riel principal V_riel [V]</t>
  </si>
  <si>
    <t>Riel que alimenta el nodo.</t>
  </si>
  <si>
    <t>Tensión nominal de la batería V_bat [V]</t>
  </si>
  <si>
    <t>2 celdas 18650 en serie = 7,4 V.</t>
  </si>
  <si>
    <t>Rendimiento del conversor η</t>
  </si>
  <si>
    <t>Conversor reductor. 0,85 es un valor conservador.</t>
  </si>
  <si>
    <t>Capacidad nominal de la batería C_nom [mAh]</t>
  </si>
  <si>
    <t>Capacidad defendible, no la de la etiqueta si es implausible.</t>
  </si>
  <si>
    <t>Factor de capacidad útil</t>
  </si>
  <si>
    <t>No se descarga una celda al 100 %.</t>
  </si>
  <si>
    <t>CONSUMO POR COMPONENTE</t>
  </si>
  <si>
    <t>Componente</t>
  </si>
  <si>
    <t>Riel [V]</t>
  </si>
  <si>
    <t>I activa [mA]</t>
  </si>
  <si>
    <t>I reposo [mA]</t>
  </si>
  <si>
    <t>t activo por ciclo [s]</t>
  </si>
  <si>
    <t>I de pico [mA]</t>
  </si>
  <si>
    <t>Aporte a I media [mA]</t>
  </si>
  <si>
    <t>Fuente del dato</t>
  </si>
  <si>
    <t>¿Riel propio?</t>
  </si>
  <si>
    <t>Hoja de datos del módulo</t>
  </si>
  <si>
    <t>No</t>
  </si>
  <si>
    <t>RESULTADOS</t>
  </si>
  <si>
    <t>Corriente media del nodo I_media [mA]</t>
  </si>
  <si>
    <t>Corriente de pico máxima [mA]</t>
  </si>
  <si>
    <t>Componente que produce el pico</t>
  </si>
  <si>
    <t>Corriente exigida a la batería I_bat [mA]</t>
  </si>
  <si>
    <t>Capacidad útil [mAh]</t>
  </si>
  <si>
    <t>Autonomía estimada [h]</t>
  </si>
  <si>
    <t>Autonomía estimada [días]</t>
  </si>
  <si>
    <t>DECISIÓN DE ALIMENTACIÓN</t>
  </si>
  <si>
    <t>¿El nodo va enchufado o a batería?</t>
  </si>
  <si>
    <t>Justificación en una línea</t>
  </si>
  <si>
    <t>¿Hay actuadores con riel propio? ¿Cuáles?</t>
  </si>
  <si>
    <t>¿Usa deep sleep? ¿Es compatible con la publicación permanente (S10)?</t>
  </si>
  <si>
    <t>Supuestos declarados (capacidad de celda, consumo en reposo, etc.)</t>
  </si>
  <si>
    <t>Nota: las cifras de la fila de ejemplo son órdenes de magnitud para ilustrar el formato. Cada equipo debe sustituirlas por los valores de la hoja de datos de sus propios componentes o por mediciones propias, indicando la fuente.</t>
  </si>
  <si>
    <t>ÓRDENES DE MAGNITUD DE CONSUMO (referencia para dimensionar)</t>
  </si>
  <si>
    <t>Valores de orden de magnitud, no de diseño. El valor definitivo se toma de la hoja de datos del componente del kit y se registra con su fuente.</t>
  </si>
  <si>
    <t>Corriente típica</t>
  </si>
  <si>
    <t>Comentario</t>
  </si>
  <si>
    <t>ESP32 DevKit — CPU activa, radio apagada</t>
  </si>
  <si>
    <t>decenas de mA</t>
  </si>
  <si>
    <t>Estado habitual entre muestras.</t>
  </si>
  <si>
    <t>ESP32 — transmisión WiFi</t>
  </si>
  <si>
    <t>picos de cientos de mA</t>
  </si>
  <si>
    <t>Pico de milisegundos; es el que reinicia nodos mal alimentados.</t>
  </si>
  <si>
    <t>ESP32 DevKit — deep sleep</t>
  </si>
  <si>
    <t>unidades de mA</t>
  </si>
  <si>
    <t>El conversor USB-serie y el LED de la placa siguen consumiendo.</t>
  </si>
  <si>
    <t>Módulo ESP32 desnudo — deep sleep</t>
  </si>
  <si>
    <t>decenas de µA</t>
  </si>
  <si>
    <t>No usar esta cifra si el proyecto usa placa de desarrollo.</t>
  </si>
  <si>
    <t>Sensor digital de temperatura/humedad</t>
  </si>
  <si>
    <t>1–2 mA al medir</t>
  </si>
  <si>
    <t>Despreciable frente al resto.</t>
  </si>
  <si>
    <t>Sensor ultrasónico</t>
  </si>
  <si>
    <t>~15 mA</t>
  </si>
  <si>
    <t>Solo durante la medición.</t>
  </si>
  <si>
    <t>Pantalla OLED</t>
  </si>
  <si>
    <t>10–20 mA</t>
  </si>
  <si>
    <t>Continuo mientras esté encendida.</t>
  </si>
  <si>
    <t>Sensor de gas con calefactor (familia MQ)</t>
  </si>
  <si>
    <t>~150 mA continuos</t>
  </si>
  <si>
    <t>Domina el presupuesto; incompatible con batería pequeña.</t>
  </si>
  <si>
    <t>Módulo de relé (una bobina)</t>
  </si>
  <si>
    <t>~70 mA por canal</t>
  </si>
  <si>
    <t>Se multiplica por canal simultáneo.</t>
  </si>
  <si>
    <t>Servomotor pequeño</t>
  </si>
  <si>
    <t>decenas de mA en reposo; cientos en movimiento</t>
  </si>
  <si>
    <t>Pico de arranque muy superior al promedio. Riel propio.</t>
  </si>
  <si>
    <t>Electroválvula solenoide 12 V</t>
  </si>
  <si>
    <t>cientos de mA mientras está abierta</t>
  </si>
  <si>
    <t>Riel propio; no accionar varias en simultáneo.</t>
  </si>
  <si>
    <t>Módulo de cámara</t>
  </si>
  <si>
    <t>cientos de mA en transmisión</t>
  </si>
  <si>
    <t>Causa clásica de reinicio por caída de riel.</t>
  </si>
  <si>
    <t>Fuente: hojas de datos de los fabricantes de los componentes del kit y cápsula asincrónica «Alimentación del nodo» (Semana 3).</t>
  </si>
  <si>
    <t>5 VIN</t>
  </si>
  <si>
    <t>Sensor de humedad HD-38</t>
  </si>
  <si>
    <t>3,3V a 5V</t>
  </si>
  <si>
    <t>Especificaciones MechatronicStore</t>
  </si>
  <si>
    <t>Pantalla LCD 16×2 GDM1602K</t>
  </si>
  <si>
    <t>5V</t>
  </si>
  <si>
    <t>Datasheet GDM1602K</t>
  </si>
  <si>
    <t>Servomotor SG90 9g</t>
  </si>
  <si>
    <t>Datasheet SG90 9g</t>
  </si>
  <si>
    <t>Si</t>
  </si>
  <si>
    <t xml:space="preserve">Relé SRD-05VDC-SL-C </t>
  </si>
  <si>
    <t>Datasheet SRD-05VDC-SL-C:</t>
  </si>
  <si>
    <t>Mini bomba de agua</t>
  </si>
  <si>
    <t>Especificaciones MCI Electronics</t>
  </si>
  <si>
    <t>Batería</t>
  </si>
  <si>
    <t>Se utiliza batería ya que permite que el sistema de riego sea autónomo y portátil, evitando depender de un enchufe cercano.</t>
  </si>
  <si>
    <t>Si hay actuadores con riel propio. el Servo motor y Mini Bomba de agua utilizan un riel de 5 V.</t>
  </si>
  <si>
    <t>No usaremos deep sleep, ya que usaremos comandos remotos de riego Node-RED, por lo que requerimos que el nodo permaneza despierto todo el tiempo.</t>
  </si>
  <si>
    <t>Servo motor (t_activo por ciclo [s] = 2 s), Mini bomba (t_activo por ciclo [s] = 10 s), Rele (t_activo por ciclo [s] = 10 s), Pantalla LCD (I reposo) se contemplo que cuando el LCD esta activo con la luz tiene esas especificaciones pero cuando no la corriente baja a 1,5 por lo que se considero en reposo ya que no estara activo o al menos activo con luz como se espera. Otro supuesto el ESP32 ya que no teniamos el modelo por ende usamos por referencia.</t>
  </si>
  <si>
    <t>E03</t>
  </si>
  <si>
    <t>P8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</si>
</sst>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color rgb="FFC80000"/>
      <name val="Arial"/>
      <family val="2"/>
    </font>
    <font>
      <i/>
      <sz val="9"/>
      <name val="Arial"/>
      <family val="2"/>
    </font>
    <font>
      <sz val="10"/>
      <name val="Arial"/>
      <family val="2"/>
    </font>
    <font>
      <b/>
      <sz val="10"/>
      <name val="Arial"/>
      <family val="2"/>
    </font>
    <font>
      <b/>
      <sz val="10"/>
      <color rgb="FFFFFFFF"/>
      <name val="Arial"/>
      <family val="2"/>
    </font>
    <font>
      <sz val="10"/>
      <color theme="1"/>
      <name val="Arial"/>
      <family val="2"/>
    </font>
  </fonts>
  <fills count="7">
    <fill>
      <patternFill patternType="none"/>
    </fill>
    <fill>
      <patternFill patternType="gray125"/>
    </fill>
    <fill>
      <patternFill patternType="solid">
        <fgColor rgb="FFEFEFEF"/>
        <bgColor rgb="FFDDEBF7"/>
      </patternFill>
    </fill>
    <fill>
      <patternFill patternType="solid">
        <fgColor rgb="FFDDEBF7"/>
        <bgColor rgb="FFEFEFEF"/>
      </patternFill>
    </fill>
    <fill>
      <patternFill patternType="solid">
        <fgColor rgb="FFC80000"/>
        <bgColor rgb="FF800000"/>
      </patternFill>
    </fill>
    <fill>
      <patternFill patternType="solid">
        <fgColor theme="4" tint="0.79998168889431442"/>
        <bgColor indexed="64"/>
      </patternFill>
    </fill>
    <fill>
      <patternFill patternType="solid">
        <fgColor theme="4" tint="0.79998168889431442"/>
        <bgColor rgb="FFEFEFEF"/>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s>
  <cellStyleXfs count="1">
    <xf numFmtId="0" fontId="0" fillId="0" borderId="0"/>
  </cellStyleXfs>
  <cellXfs count="25">
    <xf numFmtId="0" fontId="0" fillId="0" borderId="0" xfId="0"/>
    <xf numFmtId="0" fontId="2" fillId="0" borderId="0" xfId="0" applyFont="1"/>
    <xf numFmtId="0" fontId="1" fillId="0" borderId="0" xfId="0" applyFont="1"/>
    <xf numFmtId="0" fontId="3" fillId="0" borderId="0" xfId="0" applyFont="1"/>
    <xf numFmtId="0" fontId="4" fillId="2" borderId="0" xfId="0" applyFont="1" applyFill="1"/>
    <xf numFmtId="0" fontId="4" fillId="0" borderId="0" xfId="0" applyFont="1"/>
    <xf numFmtId="0" fontId="3" fillId="3" borderId="1" xfId="0" applyFont="1" applyFill="1" applyBorder="1" applyAlignment="1">
      <alignment horizontal="center" vertical="center"/>
    </xf>
    <xf numFmtId="0" fontId="5" fillId="4" borderId="1" xfId="0" applyFont="1" applyFill="1" applyBorder="1" applyAlignment="1">
      <alignment vertical="center" wrapText="1"/>
    </xf>
    <xf numFmtId="2" fontId="3" fillId="0" borderId="1" xfId="0" applyNumberFormat="1" applyFont="1" applyBorder="1" applyAlignment="1">
      <alignment horizontal="center" vertical="center"/>
    </xf>
    <xf numFmtId="1" fontId="3" fillId="0" borderId="1" xfId="0" applyNumberFormat="1" applyFont="1" applyBorder="1" applyAlignment="1">
      <alignment horizontal="center" vertical="center"/>
    </xf>
    <xf numFmtId="49"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5" fillId="4" borderId="1" xfId="0" applyFont="1" applyFill="1" applyBorder="1"/>
    <xf numFmtId="0" fontId="3" fillId="0" borderId="1" xfId="0" applyFont="1" applyBorder="1" applyAlignment="1">
      <alignment vertical="center" wrapText="1"/>
    </xf>
    <xf numFmtId="0" fontId="6" fillId="5" borderId="1" xfId="0" applyFont="1" applyFill="1" applyBorder="1" applyAlignment="1">
      <alignment horizontal="left" wrapText="1"/>
    </xf>
    <xf numFmtId="0" fontId="6" fillId="5" borderId="1" xfId="0" applyFont="1" applyFill="1" applyBorder="1" applyAlignment="1">
      <alignment horizontal="center" wrapText="1"/>
    </xf>
    <xf numFmtId="2" fontId="6" fillId="5" borderId="1" xfId="0" applyNumberFormat="1" applyFont="1" applyFill="1" applyBorder="1" applyAlignment="1">
      <alignment horizontal="center" wrapText="1"/>
    </xf>
    <xf numFmtId="0" fontId="6" fillId="6" borderId="1" xfId="0" applyFont="1" applyFill="1" applyBorder="1" applyAlignment="1">
      <alignment horizontal="left" wrapText="1"/>
    </xf>
    <xf numFmtId="0" fontId="6" fillId="6" borderId="1" xfId="0" applyFont="1" applyFill="1" applyBorder="1" applyAlignment="1">
      <alignment horizontal="center" wrapText="1"/>
    </xf>
    <xf numFmtId="0" fontId="5" fillId="4" borderId="1" xfId="0" applyFont="1" applyFill="1" applyBorder="1" applyAlignment="1">
      <alignment horizontal="center" vertical="center" wrapText="1"/>
    </xf>
    <xf numFmtId="0" fontId="0" fillId="3" borderId="2" xfId="0" applyFill="1" applyBorder="1" applyAlignment="1">
      <alignment horizontal="left"/>
    </xf>
    <xf numFmtId="0" fontId="0" fillId="3" borderId="3" xfId="0" applyFill="1" applyBorder="1" applyAlignment="1">
      <alignment horizontal="left"/>
    </xf>
    <xf numFmtId="0" fontId="0" fillId="3" borderId="4" xfId="0" applyFill="1" applyBorder="1" applyAlignment="1">
      <alignment horizontal="left"/>
    </xf>
    <xf numFmtId="14" fontId="0" fillId="3" borderId="2" xfId="0" applyNumberFormat="1" applyFill="1" applyBorder="1" applyAlignment="1">
      <alignment horizontal="left"/>
    </xf>
    <xf numFmtId="0" fontId="2"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C8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F"/>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zoomScaleNormal="100" workbookViewId="0">
      <selection activeCell="E10" sqref="E10"/>
    </sheetView>
  </sheetViews>
  <sheetFormatPr baseColWidth="10" defaultColWidth="8.7109375" defaultRowHeight="15" x14ac:dyDescent="0.25"/>
  <cols>
    <col min="1" max="1" width="3" customWidth="1"/>
    <col min="2" max="2" width="110" customWidth="1"/>
  </cols>
  <sheetData>
    <row r="1" spans="2:2" ht="18" x14ac:dyDescent="0.25">
      <c r="B1" s="2" t="s">
        <v>0</v>
      </c>
    </row>
    <row r="2" spans="2:2" x14ac:dyDescent="0.25">
      <c r="B2" s="1" t="s">
        <v>1</v>
      </c>
    </row>
    <row r="3" spans="2:2" x14ac:dyDescent="0.25">
      <c r="B3" s="3"/>
    </row>
    <row r="4" spans="2:2" x14ac:dyDescent="0.25">
      <c r="B4" s="4" t="s">
        <v>2</v>
      </c>
    </row>
    <row r="5" spans="2:2" x14ac:dyDescent="0.25">
      <c r="B5" s="3" t="s">
        <v>3</v>
      </c>
    </row>
    <row r="6" spans="2:2" x14ac:dyDescent="0.25">
      <c r="B6" s="3"/>
    </row>
    <row r="7" spans="2:2" x14ac:dyDescent="0.25">
      <c r="B7" s="4" t="s">
        <v>4</v>
      </c>
    </row>
    <row r="8" spans="2:2" x14ac:dyDescent="0.25">
      <c r="B8" s="3" t="s">
        <v>5</v>
      </c>
    </row>
    <row r="9" spans="2:2" x14ac:dyDescent="0.25">
      <c r="B9" s="3" t="s">
        <v>6</v>
      </c>
    </row>
    <row r="10" spans="2:2" x14ac:dyDescent="0.25">
      <c r="B10" s="3" t="s">
        <v>7</v>
      </c>
    </row>
    <row r="11" spans="2:2" x14ac:dyDescent="0.25">
      <c r="B11" s="3" t="s">
        <v>8</v>
      </c>
    </row>
    <row r="12" spans="2:2" x14ac:dyDescent="0.25">
      <c r="B12" s="3" t="s">
        <v>9</v>
      </c>
    </row>
    <row r="13" spans="2:2" x14ac:dyDescent="0.25">
      <c r="B13" s="3" t="s">
        <v>10</v>
      </c>
    </row>
    <row r="14" spans="2:2" x14ac:dyDescent="0.25">
      <c r="B14" s="3" t="s">
        <v>11</v>
      </c>
    </row>
    <row r="15" spans="2:2" x14ac:dyDescent="0.25">
      <c r="B15" s="3" t="s">
        <v>12</v>
      </c>
    </row>
    <row r="16" spans="2:2" x14ac:dyDescent="0.25">
      <c r="B16" s="3" t="s">
        <v>13</v>
      </c>
    </row>
    <row r="17" spans="2:2" x14ac:dyDescent="0.25">
      <c r="B17" s="3"/>
    </row>
    <row r="18" spans="2:2" x14ac:dyDescent="0.25">
      <c r="B18" s="4" t="s">
        <v>14</v>
      </c>
    </row>
    <row r="19" spans="2:2" x14ac:dyDescent="0.25">
      <c r="B19" s="3" t="s">
        <v>15</v>
      </c>
    </row>
    <row r="20" spans="2:2" x14ac:dyDescent="0.25">
      <c r="B20" s="3" t="s">
        <v>16</v>
      </c>
    </row>
    <row r="21" spans="2:2" x14ac:dyDescent="0.25">
      <c r="B21" s="3" t="s">
        <v>17</v>
      </c>
    </row>
    <row r="22" spans="2:2" x14ac:dyDescent="0.25">
      <c r="B22" s="3"/>
    </row>
    <row r="23" spans="2:2" x14ac:dyDescent="0.25">
      <c r="B23" s="4" t="s">
        <v>18</v>
      </c>
    </row>
    <row r="24" spans="2:2" x14ac:dyDescent="0.25">
      <c r="B24" s="3" t="s">
        <v>19</v>
      </c>
    </row>
    <row r="25" spans="2:2" x14ac:dyDescent="0.25">
      <c r="B25" s="3" t="s">
        <v>20</v>
      </c>
    </row>
    <row r="26" spans="2:2" x14ac:dyDescent="0.25">
      <c r="B26" s="3" t="s">
        <v>21</v>
      </c>
    </row>
    <row r="27" spans="2:2" x14ac:dyDescent="0.25">
      <c r="B27" s="3" t="s">
        <v>22</v>
      </c>
    </row>
    <row r="28" spans="2:2" x14ac:dyDescent="0.25">
      <c r="B28" s="3" t="s">
        <v>23</v>
      </c>
    </row>
    <row r="29" spans="2:2" x14ac:dyDescent="0.25">
      <c r="B29" s="3"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3"/>
  <sheetViews>
    <sheetView tabSelected="1" topLeftCell="A8" zoomScaleNormal="100" workbookViewId="0">
      <selection activeCell="H38" sqref="H38"/>
    </sheetView>
  </sheetViews>
  <sheetFormatPr baseColWidth="10" defaultColWidth="8.7109375" defaultRowHeight="15" x14ac:dyDescent="0.25"/>
  <cols>
    <col min="1" max="1" width="61.28515625" customWidth="1"/>
    <col min="2" max="2" width="20.5703125" customWidth="1"/>
    <col min="3" max="7" width="13" customWidth="1"/>
    <col min="8" max="8" width="34.5703125" customWidth="1"/>
    <col min="9" max="9" width="16" customWidth="1"/>
  </cols>
  <sheetData>
    <row r="1" spans="1:6" ht="18" x14ac:dyDescent="0.25">
      <c r="A1" s="2" t="s">
        <v>25</v>
      </c>
    </row>
    <row r="2" spans="1:6" x14ac:dyDescent="0.25">
      <c r="A2" s="1" t="s">
        <v>26</v>
      </c>
    </row>
    <row r="4" spans="1:6" x14ac:dyDescent="0.25">
      <c r="A4" s="5" t="s">
        <v>27</v>
      </c>
      <c r="B4" s="20" t="s">
        <v>131</v>
      </c>
      <c r="C4" s="21"/>
      <c r="D4" s="22"/>
    </row>
    <row r="5" spans="1:6" x14ac:dyDescent="0.25">
      <c r="A5" s="5" t="s">
        <v>28</v>
      </c>
      <c r="B5" s="20" t="s">
        <v>132</v>
      </c>
      <c r="C5" s="21"/>
      <c r="D5" s="22"/>
    </row>
    <row r="6" spans="1:6" x14ac:dyDescent="0.25">
      <c r="A6" s="5" t="s">
        <v>29</v>
      </c>
      <c r="B6" s="20">
        <v>12253</v>
      </c>
      <c r="C6" s="21"/>
      <c r="D6" s="22"/>
    </row>
    <row r="7" spans="1:6" x14ac:dyDescent="0.25">
      <c r="A7" s="5" t="s">
        <v>30</v>
      </c>
      <c r="B7" s="23">
        <v>46248</v>
      </c>
      <c r="C7" s="21"/>
      <c r="D7" s="22"/>
    </row>
    <row r="9" spans="1:6" x14ac:dyDescent="0.25">
      <c r="A9" s="4" t="s">
        <v>31</v>
      </c>
    </row>
    <row r="10" spans="1:6" x14ac:dyDescent="0.25">
      <c r="A10" s="3" t="s">
        <v>32</v>
      </c>
      <c r="B10" s="6">
        <v>60</v>
      </c>
      <c r="C10" s="24" t="s">
        <v>33</v>
      </c>
      <c r="D10" s="24"/>
      <c r="E10" s="24"/>
      <c r="F10" s="24"/>
    </row>
    <row r="11" spans="1:6" x14ac:dyDescent="0.25">
      <c r="A11" s="3" t="s">
        <v>34</v>
      </c>
      <c r="B11" s="6">
        <v>5</v>
      </c>
      <c r="C11" s="24" t="s">
        <v>35</v>
      </c>
      <c r="D11" s="24"/>
      <c r="E11" s="24"/>
      <c r="F11" s="24"/>
    </row>
    <row r="12" spans="1:6" x14ac:dyDescent="0.25">
      <c r="A12" s="3" t="s">
        <v>36</v>
      </c>
      <c r="B12" s="6">
        <v>7.4</v>
      </c>
      <c r="C12" s="24" t="s">
        <v>37</v>
      </c>
      <c r="D12" s="24"/>
      <c r="E12" s="24"/>
      <c r="F12" s="24"/>
    </row>
    <row r="13" spans="1:6" x14ac:dyDescent="0.25">
      <c r="A13" s="3" t="s">
        <v>38</v>
      </c>
      <c r="B13" s="6">
        <v>0.85</v>
      </c>
      <c r="C13" s="24" t="s">
        <v>39</v>
      </c>
      <c r="D13" s="24"/>
      <c r="E13" s="24"/>
      <c r="F13" s="24"/>
    </row>
    <row r="14" spans="1:6" x14ac:dyDescent="0.25">
      <c r="A14" s="3" t="s">
        <v>40</v>
      </c>
      <c r="B14" s="6">
        <v>2600</v>
      </c>
      <c r="C14" s="24" t="s">
        <v>41</v>
      </c>
      <c r="D14" s="24"/>
      <c r="E14" s="24"/>
      <c r="F14" s="24"/>
    </row>
    <row r="15" spans="1:6" x14ac:dyDescent="0.25">
      <c r="A15" s="3" t="s">
        <v>42</v>
      </c>
      <c r="B15" s="6">
        <v>0.8</v>
      </c>
      <c r="C15" s="24" t="s">
        <v>43</v>
      </c>
      <c r="D15" s="24"/>
      <c r="E15" s="24"/>
      <c r="F15" s="24"/>
    </row>
    <row r="17" spans="1:9" x14ac:dyDescent="0.25">
      <c r="A17" s="4" t="s">
        <v>44</v>
      </c>
    </row>
    <row r="18" spans="1:9" ht="31.5" customHeight="1" x14ac:dyDescent="0.25">
      <c r="A18" s="7" t="s">
        <v>45</v>
      </c>
      <c r="B18" s="19" t="s">
        <v>46</v>
      </c>
      <c r="C18" s="19" t="s">
        <v>47</v>
      </c>
      <c r="D18" s="19" t="s">
        <v>48</v>
      </c>
      <c r="E18" s="19" t="s">
        <v>49</v>
      </c>
      <c r="F18" s="19" t="s">
        <v>50</v>
      </c>
      <c r="G18" s="19" t="s">
        <v>51</v>
      </c>
      <c r="H18" s="19" t="s">
        <v>52</v>
      </c>
      <c r="I18" s="19" t="s">
        <v>53</v>
      </c>
    </row>
    <row r="19" spans="1:9" ht="19.5" customHeight="1" x14ac:dyDescent="0.25">
      <c r="A19" s="14" t="s">
        <v>75</v>
      </c>
      <c r="B19" s="15" t="s">
        <v>112</v>
      </c>
      <c r="C19" s="15">
        <v>120</v>
      </c>
      <c r="D19" s="15">
        <v>10</v>
      </c>
      <c r="E19" s="15">
        <v>10</v>
      </c>
      <c r="F19" s="15">
        <v>300</v>
      </c>
      <c r="G19" s="16">
        <v>28.33</v>
      </c>
      <c r="H19" s="15" t="s">
        <v>54</v>
      </c>
      <c r="I19" s="15" t="s">
        <v>55</v>
      </c>
    </row>
    <row r="20" spans="1:9" ht="17.25" customHeight="1" x14ac:dyDescent="0.25">
      <c r="A20" s="17" t="s">
        <v>113</v>
      </c>
      <c r="B20" s="18" t="s">
        <v>114</v>
      </c>
      <c r="C20" s="18">
        <v>30</v>
      </c>
      <c r="D20" s="18">
        <v>0</v>
      </c>
      <c r="E20" s="18">
        <v>10</v>
      </c>
      <c r="F20" s="18">
        <v>30</v>
      </c>
      <c r="G20" s="16">
        <v>5</v>
      </c>
      <c r="H20" s="18" t="s">
        <v>115</v>
      </c>
      <c r="I20" s="18" t="s">
        <v>55</v>
      </c>
    </row>
    <row r="21" spans="1:9" ht="15.75" customHeight="1" x14ac:dyDescent="0.25">
      <c r="A21" s="17" t="s">
        <v>113</v>
      </c>
      <c r="B21" s="18" t="s">
        <v>114</v>
      </c>
      <c r="C21" s="18">
        <v>30</v>
      </c>
      <c r="D21" s="18">
        <v>0</v>
      </c>
      <c r="E21" s="18">
        <v>10</v>
      </c>
      <c r="F21" s="18">
        <v>30</v>
      </c>
      <c r="G21" s="16">
        <v>5</v>
      </c>
      <c r="H21" s="18" t="s">
        <v>115</v>
      </c>
      <c r="I21" s="18" t="s">
        <v>55</v>
      </c>
    </row>
    <row r="22" spans="1:9" x14ac:dyDescent="0.25">
      <c r="A22" s="17" t="s">
        <v>116</v>
      </c>
      <c r="B22" s="18" t="s">
        <v>117</v>
      </c>
      <c r="C22" s="18">
        <v>121.5</v>
      </c>
      <c r="D22" s="18">
        <v>1.5</v>
      </c>
      <c r="E22" s="18">
        <v>10</v>
      </c>
      <c r="F22" s="18">
        <v>164</v>
      </c>
      <c r="G22" s="16">
        <v>21.5</v>
      </c>
      <c r="H22" s="18" t="s">
        <v>118</v>
      </c>
      <c r="I22" s="18" t="s">
        <v>55</v>
      </c>
    </row>
    <row r="23" spans="1:9" x14ac:dyDescent="0.25">
      <c r="A23" s="17" t="s">
        <v>119</v>
      </c>
      <c r="B23" s="18" t="s">
        <v>117</v>
      </c>
      <c r="C23" s="18">
        <v>220</v>
      </c>
      <c r="D23" s="18">
        <v>0</v>
      </c>
      <c r="E23" s="18">
        <v>2</v>
      </c>
      <c r="F23" s="18">
        <v>650</v>
      </c>
      <c r="G23" s="16">
        <v>7.33</v>
      </c>
      <c r="H23" s="18" t="s">
        <v>120</v>
      </c>
      <c r="I23" s="18" t="s">
        <v>121</v>
      </c>
    </row>
    <row r="24" spans="1:9" ht="16.5" customHeight="1" x14ac:dyDescent="0.25">
      <c r="A24" s="17" t="s">
        <v>122</v>
      </c>
      <c r="B24" s="18" t="s">
        <v>117</v>
      </c>
      <c r="C24" s="18">
        <v>89.3</v>
      </c>
      <c r="D24" s="18">
        <v>0</v>
      </c>
      <c r="E24" s="18">
        <v>10</v>
      </c>
      <c r="F24" s="18">
        <v>89.3</v>
      </c>
      <c r="G24" s="16">
        <v>14.88</v>
      </c>
      <c r="H24" s="18" t="s">
        <v>123</v>
      </c>
      <c r="I24" s="18" t="s">
        <v>55</v>
      </c>
    </row>
    <row r="25" spans="1:9" ht="16.5" customHeight="1" x14ac:dyDescent="0.25">
      <c r="A25" s="17" t="s">
        <v>124</v>
      </c>
      <c r="B25" s="18" t="s">
        <v>117</v>
      </c>
      <c r="C25" s="18">
        <v>220</v>
      </c>
      <c r="D25" s="18">
        <v>0</v>
      </c>
      <c r="E25" s="18">
        <v>10</v>
      </c>
      <c r="F25" s="18">
        <v>600</v>
      </c>
      <c r="G25" s="16">
        <v>36.67</v>
      </c>
      <c r="H25" s="18" t="s">
        <v>125</v>
      </c>
      <c r="I25" s="18" t="s">
        <v>121</v>
      </c>
    </row>
    <row r="27" spans="1:9" x14ac:dyDescent="0.25">
      <c r="A27" s="4" t="s">
        <v>56</v>
      </c>
    </row>
    <row r="28" spans="1:9" x14ac:dyDescent="0.25">
      <c r="A28" s="5" t="s">
        <v>57</v>
      </c>
      <c r="B28" s="8">
        <f>SUM(G19:G25)</f>
        <v>118.71</v>
      </c>
    </row>
    <row r="29" spans="1:9" x14ac:dyDescent="0.25">
      <c r="A29" s="5" t="s">
        <v>58</v>
      </c>
      <c r="B29" s="9">
        <f>MAX(F19:F25)</f>
        <v>650</v>
      </c>
    </row>
    <row r="30" spans="1:9" x14ac:dyDescent="0.25">
      <c r="A30" s="5" t="s">
        <v>59</v>
      </c>
      <c r="B30" s="10" t="str">
        <f>IF(MAX(F19:F25)=0,"—",INDEX(A19:A25,MATCH(MAX(F19:F25),F19:F25,0)))</f>
        <v>Servomotor SG90 9g</v>
      </c>
    </row>
    <row r="31" spans="1:9" x14ac:dyDescent="0.25">
      <c r="A31" s="5" t="s">
        <v>60</v>
      </c>
      <c r="B31" s="8">
        <f>IF(B28=0,0,B28*($B$11/$B$12)/$B$13)</f>
        <v>94.364069952305243</v>
      </c>
    </row>
    <row r="32" spans="1:9" x14ac:dyDescent="0.25">
      <c r="A32" s="5" t="s">
        <v>61</v>
      </c>
      <c r="B32" s="9">
        <f>$B$14*$B$15</f>
        <v>2080</v>
      </c>
    </row>
    <row r="33" spans="1:9" x14ac:dyDescent="0.25">
      <c r="A33" s="5" t="s">
        <v>62</v>
      </c>
      <c r="B33" s="11">
        <f>IF(B31=0,0,B32/B31)</f>
        <v>22.042287928565411</v>
      </c>
    </row>
    <row r="34" spans="1:9" x14ac:dyDescent="0.25">
      <c r="A34" s="5" t="s">
        <v>63</v>
      </c>
      <c r="B34" s="11">
        <f>B33/24</f>
        <v>0.91842866369022547</v>
      </c>
    </row>
    <row r="36" spans="1:9" x14ac:dyDescent="0.25">
      <c r="A36" s="4" t="s">
        <v>64</v>
      </c>
    </row>
    <row r="37" spans="1:9" x14ac:dyDescent="0.25">
      <c r="A37" s="3" t="s">
        <v>65</v>
      </c>
      <c r="B37" s="20" t="s">
        <v>126</v>
      </c>
      <c r="C37" s="21"/>
      <c r="D37" s="21"/>
      <c r="E37" s="21"/>
      <c r="F37" s="21"/>
      <c r="G37" s="21"/>
      <c r="H37" s="21"/>
      <c r="I37" s="22"/>
    </row>
    <row r="38" spans="1:9" x14ac:dyDescent="0.25">
      <c r="A38" s="3" t="s">
        <v>66</v>
      </c>
      <c r="B38" s="20" t="s">
        <v>127</v>
      </c>
      <c r="C38" s="21"/>
      <c r="D38" s="21"/>
      <c r="E38" s="21"/>
      <c r="F38" s="21"/>
      <c r="G38" s="21"/>
      <c r="H38" s="21"/>
      <c r="I38" s="22"/>
    </row>
    <row r="39" spans="1:9" x14ac:dyDescent="0.25">
      <c r="A39" s="3" t="s">
        <v>67</v>
      </c>
      <c r="B39" s="20" t="s">
        <v>128</v>
      </c>
      <c r="C39" s="21"/>
      <c r="D39" s="21"/>
      <c r="E39" s="21"/>
      <c r="F39" s="21"/>
      <c r="G39" s="21"/>
      <c r="H39" s="21"/>
      <c r="I39" s="22"/>
    </row>
    <row r="40" spans="1:9" x14ac:dyDescent="0.25">
      <c r="A40" s="3" t="s">
        <v>68</v>
      </c>
      <c r="B40" s="20" t="s">
        <v>129</v>
      </c>
      <c r="C40" s="21"/>
      <c r="D40" s="21"/>
      <c r="E40" s="21"/>
      <c r="F40" s="21"/>
      <c r="G40" s="21"/>
      <c r="H40" s="21"/>
      <c r="I40" s="22"/>
    </row>
    <row r="41" spans="1:9" ht="24.75" customHeight="1" x14ac:dyDescent="0.25">
      <c r="A41" s="3" t="s">
        <v>69</v>
      </c>
      <c r="B41" s="20" t="s">
        <v>130</v>
      </c>
      <c r="C41" s="21"/>
      <c r="D41" s="21"/>
      <c r="E41" s="21"/>
      <c r="F41" s="21"/>
      <c r="G41" s="21"/>
      <c r="H41" s="21"/>
      <c r="I41" s="22"/>
    </row>
    <row r="43" spans="1:9" x14ac:dyDescent="0.25">
      <c r="A43" s="24" t="s">
        <v>70</v>
      </c>
      <c r="B43" s="24"/>
      <c r="C43" s="24"/>
      <c r="D43" s="24"/>
      <c r="E43" s="24"/>
      <c r="F43" s="24"/>
      <c r="G43" s="24"/>
      <c r="H43" s="24"/>
      <c r="I43" s="24"/>
    </row>
  </sheetData>
  <mergeCells count="7">
    <mergeCell ref="C10:F10"/>
    <mergeCell ref="A43:I43"/>
    <mergeCell ref="C11:F11"/>
    <mergeCell ref="C12:F12"/>
    <mergeCell ref="C13:F13"/>
    <mergeCell ref="C14:F14"/>
    <mergeCell ref="C15:F1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zoomScaleNormal="100" workbookViewId="0"/>
  </sheetViews>
  <sheetFormatPr baseColWidth="10" defaultColWidth="8.7109375" defaultRowHeight="15" x14ac:dyDescent="0.25"/>
  <cols>
    <col min="1" max="1" width="38" customWidth="1"/>
    <col min="2" max="2" width="22" customWidth="1"/>
    <col min="3" max="3" width="62" customWidth="1"/>
  </cols>
  <sheetData>
    <row r="1" spans="1:3" ht="18" x14ac:dyDescent="0.25">
      <c r="A1" s="2" t="s">
        <v>71</v>
      </c>
    </row>
    <row r="2" spans="1:3" x14ac:dyDescent="0.25">
      <c r="A2" s="1" t="s">
        <v>72</v>
      </c>
    </row>
    <row r="4" spans="1:3" x14ac:dyDescent="0.25">
      <c r="A4" s="12" t="s">
        <v>45</v>
      </c>
      <c r="B4" s="12" t="s">
        <v>73</v>
      </c>
      <c r="C4" s="12" t="s">
        <v>74</v>
      </c>
    </row>
    <row r="5" spans="1:3" ht="25.5" x14ac:dyDescent="0.25">
      <c r="A5" s="13" t="s">
        <v>75</v>
      </c>
      <c r="B5" s="13" t="s">
        <v>76</v>
      </c>
      <c r="C5" s="13" t="s">
        <v>77</v>
      </c>
    </row>
    <row r="6" spans="1:3" x14ac:dyDescent="0.25">
      <c r="A6" s="13" t="s">
        <v>78</v>
      </c>
      <c r="B6" s="13" t="s">
        <v>79</v>
      </c>
      <c r="C6" s="13" t="s">
        <v>80</v>
      </c>
    </row>
    <row r="7" spans="1:3" x14ac:dyDescent="0.25">
      <c r="A7" s="13" t="s">
        <v>81</v>
      </c>
      <c r="B7" s="13" t="s">
        <v>82</v>
      </c>
      <c r="C7" s="13" t="s">
        <v>83</v>
      </c>
    </row>
    <row r="8" spans="1:3" x14ac:dyDescent="0.25">
      <c r="A8" s="13" t="s">
        <v>84</v>
      </c>
      <c r="B8" s="13" t="s">
        <v>85</v>
      </c>
      <c r="C8" s="13" t="s">
        <v>86</v>
      </c>
    </row>
    <row r="9" spans="1:3" x14ac:dyDescent="0.25">
      <c r="A9" s="13" t="s">
        <v>87</v>
      </c>
      <c r="B9" s="13" t="s">
        <v>88</v>
      </c>
      <c r="C9" s="13" t="s">
        <v>89</v>
      </c>
    </row>
    <row r="10" spans="1:3" x14ac:dyDescent="0.25">
      <c r="A10" s="13" t="s">
        <v>90</v>
      </c>
      <c r="B10" s="13" t="s">
        <v>91</v>
      </c>
      <c r="C10" s="13" t="s">
        <v>92</v>
      </c>
    </row>
    <row r="11" spans="1:3" x14ac:dyDescent="0.25">
      <c r="A11" s="13" t="s">
        <v>93</v>
      </c>
      <c r="B11" s="13" t="s">
        <v>94</v>
      </c>
      <c r="C11" s="13" t="s">
        <v>95</v>
      </c>
    </row>
    <row r="12" spans="1:3" x14ac:dyDescent="0.25">
      <c r="A12" s="13" t="s">
        <v>96</v>
      </c>
      <c r="B12" s="13" t="s">
        <v>97</v>
      </c>
      <c r="C12" s="13" t="s">
        <v>98</v>
      </c>
    </row>
    <row r="13" spans="1:3" x14ac:dyDescent="0.25">
      <c r="A13" s="13" t="s">
        <v>99</v>
      </c>
      <c r="B13" s="13" t="s">
        <v>100</v>
      </c>
      <c r="C13" s="13" t="s">
        <v>101</v>
      </c>
    </row>
    <row r="14" spans="1:3" ht="38.25" x14ac:dyDescent="0.25">
      <c r="A14" s="13" t="s">
        <v>102</v>
      </c>
      <c r="B14" s="13" t="s">
        <v>103</v>
      </c>
      <c r="C14" s="13" t="s">
        <v>104</v>
      </c>
    </row>
    <row r="15" spans="1:3" ht="25.5" x14ac:dyDescent="0.25">
      <c r="A15" s="13" t="s">
        <v>105</v>
      </c>
      <c r="B15" s="13" t="s">
        <v>106</v>
      </c>
      <c r="C15" s="13" t="s">
        <v>107</v>
      </c>
    </row>
    <row r="16" spans="1:3" ht="25.5" x14ac:dyDescent="0.25">
      <c r="A16" s="13" t="s">
        <v>108</v>
      </c>
      <c r="B16" s="13" t="s">
        <v>109</v>
      </c>
      <c r="C16" s="13" t="s">
        <v>110</v>
      </c>
    </row>
    <row r="18" spans="1:1" x14ac:dyDescent="0.25">
      <c r="A18" s="1" t="s">
        <v>111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Instrucciones</vt:lpstr>
      <vt:lpstr>Ficha</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Reinier Rodriguez Guillen</dc:creator>
  <dc:description/>
  <cp:lastModifiedBy>David Morales</cp:lastModifiedBy>
  <cp:revision>0</cp:revision>
  <dcterms:created xsi:type="dcterms:W3CDTF">2026-08-06T16:09:48Z</dcterms:created>
  <dcterms:modified xsi:type="dcterms:W3CDTF">2026-08-17T22:38:59Z</dcterms:modified>
  <dc:language>en-US</dc:language>
</cp:coreProperties>
</file>